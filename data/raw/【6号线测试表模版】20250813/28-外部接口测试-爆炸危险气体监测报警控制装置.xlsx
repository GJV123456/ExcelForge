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爆炸危险气体监测报警控制装置" sheetId="1" r:id="rId1"/>
    <sheet name="Sheet1" sheetId="2" r:id="rId2"/>
  </sheets>
  <definedNames>
    <definedName name="_xlnm._FilterDatabase" localSheetId="0" hidden="1">爆炸危险气体监测报警控制装置!$A$1:$H$14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<sst xmlns="http://schemas.openxmlformats.org/spreadsheetml/2006/main" count="126" uniqueCount="57">
  <si>
    <t>T19-综合监控与FAS模式联调测试表</t>
  </si>
  <si>
    <t>测试项：FAS设备信息监视-爆炸危险气体监测报警控制装置</t>
  </si>
  <si>
    <t>测试地点：</t>
  </si>
  <si>
    <t>测试时间：</t>
  </si>
  <si>
    <t>第    次测试</t>
  </si>
  <si>
    <t>表格编号：T19-03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</si>
  <si>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</si>
  <si>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</si>
  <si>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</si>
  <si>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</si>
  <si>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</si>
  <si>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</si>
  <si>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</si>
  <si>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</si>
  <si>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</si>
  <si>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</si>
  <si>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易燃品库液体间KRST-01气体报警N7L4M17</t>
  </si>
  <si>
    <t>现场测试人员模拟爆炸危险气体监测报警控制装置报警</t>
  </si>
  <si>
    <t>现场：爆炸危险气体监测报警控制装置报警</t>
  </si>
  <si>
    <t>风水电-场段</t>
  </si>
  <si>
    <t>FAS主机：收到爆炸危险气体监测报警控制装置报警信息</t>
  </si>
  <si>
    <t>自动化</t>
  </si>
  <si>
    <t>FAS图文工作站：收到爆炸危险气体监测报警控制装置报警报文</t>
  </si>
  <si>
    <t>综合监控：收到爆炸危险气体监测报警控制装置报警、事件</t>
  </si>
  <si>
    <t>测试结论：通过（）不通过（）
问题记录：</t>
  </si>
  <si>
    <t>易燃品库气体监测报警控制装置远程复位N7L4M27</t>
  </si>
  <si>
    <t>FAS主机远方复归气体监测报警控制装置</t>
  </si>
  <si>
    <t>FAS主机：气体监测报警控制装置复归控制命令已下发</t>
  </si>
  <si>
    <t>现场：收到气体监测报警控制装置复归，设备恢复正常</t>
  </si>
  <si>
    <t>FAS图文工作站：收到气体监测报警控制装置复归报文</t>
  </si>
  <si>
    <t>综合监控：收到气体监测报警控制装置复归事件，报文</t>
  </si>
  <si>
    <t>易燃品库液体间KRST-01气体报警</t>
  </si>
  <si>
    <t>监视模块</t>
  </si>
  <si>
    <t>动作状态</t>
  </si>
  <si>
    <t>N7L4M17</t>
  </si>
  <si>
    <t>模块故障状态</t>
  </si>
  <si>
    <t>易燃品库胶漆间KRST-02气体报警</t>
  </si>
  <si>
    <t>N7L4M18</t>
  </si>
  <si>
    <t>易燃品库油脂间KRST-03气体报警</t>
  </si>
  <si>
    <t>N7L4M19</t>
  </si>
  <si>
    <t>易燃品库油品间KRST-04气体报警</t>
  </si>
  <si>
    <t>N7L4M20</t>
  </si>
  <si>
    <t>易燃品库废油存放间KRST-05气体报警</t>
  </si>
  <si>
    <t>N7L4M21</t>
  </si>
  <si>
    <t>易燃品库危废品存放间KRST-06气体报警</t>
  </si>
  <si>
    <t>N7L4M22</t>
  </si>
  <si>
    <t>易燃品库电池充放电间KRST-07气体报警</t>
  </si>
  <si>
    <t>N7L4M23</t>
  </si>
  <si>
    <t>易燃品库蓄电池存放间KRST-08气体报警</t>
  </si>
  <si>
    <t>N7L4M24</t>
  </si>
  <si>
    <t>易燃品库电瓶车充电间KRST-09气体报警</t>
  </si>
  <si>
    <t>N7L4M25</t>
  </si>
  <si>
    <t>易燃品库电源间KRST-10气体报警</t>
  </si>
  <si>
    <t>N7L4M26</t>
  </si>
  <si>
    <t>易燃品库气体监测报警控制装置远程复位</t>
  </si>
  <si>
    <t>控制模块</t>
  </si>
  <si>
    <t>N7L4M27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</si>
</sst>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28" fillId="0" borderId="0"/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_PRC - 66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5"/>
  <sheetViews>
    <sheetView tabSelected="1" workbookViewId="0">
      <selection activeCell="D17" sqref="D17"/>
    </sheetView>
  </sheetViews>
  <sheetFormatPr defaultColWidth="9" defaultRowHeight="14.4" outlineLevelCol="7"/>
  <cols>
    <col min="1" max="1" width="2.39814814814815" style="1" customWidth="1"/>
    <col min="2" max="2" width="25.1018518518519" style="1" customWidth="1"/>
    <col min="3" max="3" width="41.3888888888889" style="1" customWidth="1"/>
    <col min="4" max="4" width="60.9259259259259" style="1" customWidth="1"/>
    <col min="5" max="5" width="8.26851851851852" style="1" customWidth="1"/>
    <col min="6" max="7" width="12.0925925925926" style="1" customWidth="1"/>
    <col min="8" max="8" width="19.3333333333333" style="2" customWidth="1"/>
    <col min="9" max="16384" width="9" style="1"/>
  </cols>
  <sheetData>
    <row r="1" ht="20.2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ht="24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4" t="s">
        <v>17</v>
      </c>
      <c r="D5" s="15" t="s">
        <v>18</v>
      </c>
      <c r="E5" s="15"/>
      <c r="F5" s="15"/>
      <c r="G5" s="15"/>
      <c r="H5" s="14" t="s">
        <v>19</v>
      </c>
    </row>
    <row r="6" spans="1:8">
      <c r="A6" s="13"/>
      <c r="B6" s="14"/>
      <c r="C6" s="14"/>
      <c r="D6" s="15" t="s">
        <v>20</v>
      </c>
      <c r="E6" s="16"/>
      <c r="F6" s="16"/>
      <c r="G6" s="16"/>
      <c r="H6" s="14" t="s">
        <v>21</v>
      </c>
    </row>
    <row r="7" spans="1:8">
      <c r="A7" s="13"/>
      <c r="B7" s="14"/>
      <c r="C7" s="14"/>
      <c r="D7" s="15" t="s">
        <v>22</v>
      </c>
      <c r="E7" s="16"/>
      <c r="F7" s="16"/>
      <c r="G7" s="16"/>
      <c r="H7" s="14" t="s">
        <v>21</v>
      </c>
    </row>
    <row r="8" spans="1:8">
      <c r="A8" s="13"/>
      <c r="B8" s="14"/>
      <c r="C8" s="14"/>
      <c r="D8" s="15" t="s">
        <v>23</v>
      </c>
      <c r="E8" s="16"/>
      <c r="F8" s="16"/>
      <c r="G8" s="16"/>
      <c r="H8" s="14" t="s">
        <v>21</v>
      </c>
    </row>
    <row r="9" spans="1:8">
      <c r="A9" s="13"/>
      <c r="B9" s="17" t="s">
        <v>24</v>
      </c>
      <c r="C9" s="17"/>
      <c r="D9" s="17"/>
      <c r="E9" s="17"/>
      <c r="F9" s="17"/>
      <c r="G9" s="18"/>
      <c r="H9" s="18"/>
    </row>
    <row r="10" spans="1:8">
      <c r="A10" s="13">
        <v>2</v>
      </c>
      <c r="B10" s="14" t="s">
        <v>25</v>
      </c>
      <c r="C10" s="14" t="s">
        <v>26</v>
      </c>
      <c r="D10" s="15" t="s">
        <v>27</v>
      </c>
      <c r="E10" s="15"/>
      <c r="F10" s="15"/>
      <c r="G10" s="15"/>
      <c r="H10" s="14" t="s">
        <v>21</v>
      </c>
    </row>
    <row r="11" spans="1:8">
      <c r="A11" s="13"/>
      <c r="B11" s="14"/>
      <c r="C11" s="14"/>
      <c r="D11" s="15" t="s">
        <v>28</v>
      </c>
      <c r="E11" s="16"/>
      <c r="F11" s="16"/>
      <c r="G11" s="16"/>
      <c r="H11" s="14" t="s">
        <v>19</v>
      </c>
    </row>
    <row r="12" spans="1:8">
      <c r="A12" s="13"/>
      <c r="B12" s="14"/>
      <c r="C12" s="14"/>
      <c r="D12" s="15" t="s">
        <v>29</v>
      </c>
      <c r="E12" s="16"/>
      <c r="F12" s="16"/>
      <c r="G12" s="16"/>
      <c r="H12" s="14" t="s">
        <v>21</v>
      </c>
    </row>
    <row r="13" spans="1:8">
      <c r="A13" s="13"/>
      <c r="B13" s="14"/>
      <c r="C13" s="14"/>
      <c r="D13" s="15" t="s">
        <v>30</v>
      </c>
      <c r="E13" s="16"/>
      <c r="F13" s="16"/>
      <c r="G13" s="16"/>
      <c r="H13" s="14" t="s">
        <v>21</v>
      </c>
    </row>
    <row r="14" spans="1:8">
      <c r="A14" s="13"/>
      <c r="B14" s="17" t="s">
        <v>24</v>
      </c>
      <c r="C14" s="17"/>
      <c r="D14" s="17"/>
      <c r="E14" s="17"/>
      <c r="F14" s="17"/>
      <c r="G14" s="18"/>
      <c r="H14" s="18"/>
    </row>
    <row r="15" ht="30" customHeight="1"/>
  </sheetData>
  <autoFilter xmlns:etc="http://www.wps.cn/officeDocument/2017/etCustomData" ref="A1:H14" etc:filterBottomFollowUsedRange="0">
    <extLst/>
  </autoFilter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2"/>
  <sheetViews>
    <sheetView workbookViewId="0">
      <selection activeCell="I7" sqref="I7"/>
    </sheetView>
  </sheetViews>
  <sheetFormatPr defaultColWidth="8.88888888888889" defaultRowHeight="14.4" outlineLevelCol="5"/>
  <cols>
    <col min="1" max="1" width="45.8888888888889" customWidth="1"/>
    <col min="2" max="2" width="11.4444444444444" customWidth="1"/>
    <col min="3" max="3" width="15.8888888888889" customWidth="1"/>
    <col min="4" max="4" width="15.2222222222222" customWidth="1"/>
    <col min="5" max="5" width="17.1111111111111" customWidth="1"/>
    <col min="6" max="6" width="25.1111111111111" customWidth="1"/>
    <col min="8" max="8" width="17.6666666666667" customWidth="1"/>
  </cols>
  <sheetData>
    <row r="1" spans="1:6">
      <c r="A1" t="s">
        <v>31</v>
      </c>
      <c r="B1" t="s">
        <v>32</v>
      </c>
      <c r="C1" t="s">
        <v>33</v>
      </c>
      <c r="D1" t="s">
        <v>34</v>
      </c>
      <c r="F1" t="str">
        <f>A1&amp;D1</f>
        <v>易燃品库液体间KRST-01气体报警N7L4M17</v>
      </c>
    </row>
    <row r="2" spans="1:6">
      <c r="A2" t="s">
        <v>31</v>
      </c>
      <c r="B2" t="s">
        <v>32</v>
      </c>
      <c r="C2" t="s">
        <v>35</v>
      </c>
      <c r="D2" t="s">
        <v>34</v>
      </c>
      <c r="F2" t="str">
        <f t="shared" ref="F2:F22" si="0">A2&amp;D2</f>
        <v>易燃品库液体间KRST-01气体报警N7L4M17</v>
      </c>
    </row>
    <row r="3" spans="1:6">
      <c r="A3" t="s">
        <v>36</v>
      </c>
      <c r="B3" t="s">
        <v>32</v>
      </c>
      <c r="C3" t="s">
        <v>33</v>
      </c>
      <c r="D3" t="s">
        <v>37</v>
      </c>
      <c r="F3" t="str">
        <f t="shared" si="0"/>
        <v>易燃品库胶漆间KRST-02气体报警N7L4M18</v>
      </c>
    </row>
    <row r="4" spans="1:6">
      <c r="A4" t="s">
        <v>36</v>
      </c>
      <c r="B4" t="s">
        <v>32</v>
      </c>
      <c r="C4" t="s">
        <v>35</v>
      </c>
      <c r="D4" t="s">
        <v>37</v>
      </c>
      <c r="F4" t="str">
        <f t="shared" si="0"/>
        <v>易燃品库胶漆间KRST-02气体报警N7L4M18</v>
      </c>
    </row>
    <row r="5" spans="1:6">
      <c r="A5" t="s">
        <v>38</v>
      </c>
      <c r="B5" t="s">
        <v>32</v>
      </c>
      <c r="C5" t="s">
        <v>33</v>
      </c>
      <c r="D5" t="s">
        <v>39</v>
      </c>
      <c r="F5" t="str">
        <f t="shared" si="0"/>
        <v>易燃品库油脂间KRST-03气体报警N7L4M19</v>
      </c>
    </row>
    <row r="6" spans="1:6">
      <c r="A6" t="s">
        <v>38</v>
      </c>
      <c r="B6" t="s">
        <v>32</v>
      </c>
      <c r="C6" t="s">
        <v>35</v>
      </c>
      <c r="D6" t="s">
        <v>39</v>
      </c>
      <c r="F6" t="str">
        <f t="shared" si="0"/>
        <v>易燃品库油脂间KRST-03气体报警N7L4M19</v>
      </c>
    </row>
    <row r="7" spans="1:6">
      <c r="A7" t="s">
        <v>40</v>
      </c>
      <c r="B7" t="s">
        <v>32</v>
      </c>
      <c r="C7" t="s">
        <v>33</v>
      </c>
      <c r="D7" t="s">
        <v>41</v>
      </c>
      <c r="F7" t="str">
        <f t="shared" si="0"/>
        <v>易燃品库油品间KRST-04气体报警N7L4M20</v>
      </c>
    </row>
    <row r="8" spans="1:6">
      <c r="A8" t="s">
        <v>40</v>
      </c>
      <c r="B8" t="s">
        <v>32</v>
      </c>
      <c r="C8" t="s">
        <v>35</v>
      </c>
      <c r="D8" t="s">
        <v>41</v>
      </c>
      <c r="F8" t="str">
        <f t="shared" si="0"/>
        <v>易燃品库油品间KRST-04气体报警N7L4M20</v>
      </c>
    </row>
    <row r="9" spans="1:6">
      <c r="A9" t="s">
        <v>42</v>
      </c>
      <c r="B9" t="s">
        <v>32</v>
      </c>
      <c r="C9" t="s">
        <v>33</v>
      </c>
      <c r="D9" t="s">
        <v>43</v>
      </c>
      <c r="F9" t="str">
        <f t="shared" si="0"/>
        <v>易燃品库废油存放间KRST-05气体报警N7L4M21</v>
      </c>
    </row>
    <row r="10" spans="1:6">
      <c r="A10" t="s">
        <v>42</v>
      </c>
      <c r="B10" t="s">
        <v>32</v>
      </c>
      <c r="C10" t="s">
        <v>35</v>
      </c>
      <c r="D10" t="s">
        <v>43</v>
      </c>
      <c r="F10" t="str">
        <f t="shared" si="0"/>
        <v>易燃品库废油存放间KRST-05气体报警N7L4M21</v>
      </c>
    </row>
    <row r="11" spans="1:6">
      <c r="A11" t="s">
        <v>44</v>
      </c>
      <c r="B11" t="s">
        <v>32</v>
      </c>
      <c r="C11" t="s">
        <v>33</v>
      </c>
      <c r="D11" t="s">
        <v>45</v>
      </c>
      <c r="F11" t="str">
        <f t="shared" si="0"/>
        <v>易燃品库危废品存放间KRST-06气体报警N7L4M22</v>
      </c>
    </row>
    <row r="12" spans="1:6">
      <c r="A12" t="s">
        <v>44</v>
      </c>
      <c r="B12" t="s">
        <v>32</v>
      </c>
      <c r="C12" t="s">
        <v>35</v>
      </c>
      <c r="D12" t="s">
        <v>45</v>
      </c>
      <c r="F12" t="str">
        <f t="shared" si="0"/>
        <v>易燃品库危废品存放间KRST-06气体报警N7L4M22</v>
      </c>
    </row>
    <row r="13" spans="1:6">
      <c r="A13" t="s">
        <v>46</v>
      </c>
      <c r="B13" t="s">
        <v>32</v>
      </c>
      <c r="C13" t="s">
        <v>33</v>
      </c>
      <c r="D13" t="s">
        <v>47</v>
      </c>
      <c r="F13" t="str">
        <f t="shared" si="0"/>
        <v>易燃品库电池充放电间KRST-07气体报警N7L4M23</v>
      </c>
    </row>
    <row r="14" spans="1:6">
      <c r="A14" t="s">
        <v>46</v>
      </c>
      <c r="B14" t="s">
        <v>32</v>
      </c>
      <c r="C14" t="s">
        <v>35</v>
      </c>
      <c r="D14" t="s">
        <v>47</v>
      </c>
      <c r="F14" t="str">
        <f t="shared" si="0"/>
        <v>易燃品库电池充放电间KRST-07气体报警N7L4M23</v>
      </c>
    </row>
    <row r="15" spans="1:6">
      <c r="A15" t="s">
        <v>48</v>
      </c>
      <c r="B15" t="s">
        <v>32</v>
      </c>
      <c r="C15" t="s">
        <v>33</v>
      </c>
      <c r="D15" t="s">
        <v>49</v>
      </c>
      <c r="F15" t="str">
        <f t="shared" si="0"/>
        <v>易燃品库蓄电池存放间KRST-08气体报警N7L4M24</v>
      </c>
    </row>
    <row r="16" spans="1:6">
      <c r="A16" t="s">
        <v>48</v>
      </c>
      <c r="B16" t="s">
        <v>32</v>
      </c>
      <c r="C16" t="s">
        <v>35</v>
      </c>
      <c r="D16" t="s">
        <v>49</v>
      </c>
      <c r="F16" t="str">
        <f t="shared" si="0"/>
        <v>易燃品库蓄电池存放间KRST-08气体报警N7L4M24</v>
      </c>
    </row>
    <row r="17" spans="1:6">
      <c r="A17" t="s">
        <v>50</v>
      </c>
      <c r="B17" t="s">
        <v>32</v>
      </c>
      <c r="C17" t="s">
        <v>33</v>
      </c>
      <c r="D17" t="s">
        <v>51</v>
      </c>
      <c r="F17" t="str">
        <f t="shared" si="0"/>
        <v>易燃品库电瓶车充电间KRST-09气体报警N7L4M25</v>
      </c>
    </row>
    <row r="18" spans="1:6">
      <c r="A18" t="s">
        <v>50</v>
      </c>
      <c r="B18" t="s">
        <v>32</v>
      </c>
      <c r="C18" t="s">
        <v>35</v>
      </c>
      <c r="D18" t="s">
        <v>51</v>
      </c>
      <c r="F18" t="str">
        <f t="shared" si="0"/>
        <v>易燃品库电瓶车充电间KRST-09气体报警N7L4M25</v>
      </c>
    </row>
    <row r="19" spans="1:6">
      <c r="A19" t="s">
        <v>52</v>
      </c>
      <c r="B19" t="s">
        <v>32</v>
      </c>
      <c r="C19" t="s">
        <v>33</v>
      </c>
      <c r="D19" t="s">
        <v>53</v>
      </c>
      <c r="F19" t="str">
        <f t="shared" si="0"/>
        <v>易燃品库电源间KRST-10气体报警N7L4M26</v>
      </c>
    </row>
    <row r="20" spans="1:6">
      <c r="A20" t="s">
        <v>52</v>
      </c>
      <c r="B20" t="s">
        <v>32</v>
      </c>
      <c r="C20" t="s">
        <v>35</v>
      </c>
      <c r="D20" t="s">
        <v>53</v>
      </c>
      <c r="F20" t="str">
        <f t="shared" si="0"/>
        <v>易燃品库电源间KRST-10气体报警N7L4M26</v>
      </c>
    </row>
    <row r="21" spans="1:6">
      <c r="A21" t="s">
        <v>54</v>
      </c>
      <c r="B21" t="s">
        <v>55</v>
      </c>
      <c r="C21" t="s">
        <v>33</v>
      </c>
      <c r="D21" t="s">
        <v>56</v>
      </c>
      <c r="F21" t="str">
        <f t="shared" si="0"/>
        <v>易燃品库气体监测报警控制装置远程复位N7L4M27</v>
      </c>
    </row>
    <row r="22" spans="1:6">
      <c r="A22" t="s">
        <v>54</v>
      </c>
      <c r="B22" t="s">
        <v>55</v>
      </c>
      <c r="C22" t="s">
        <v>35</v>
      </c>
      <c r="D22" t="s">
        <v>56</v>
      </c>
      <c r="F22" t="str">
        <f t="shared" si="0"/>
        <v>易燃品库气体监测报警控制装置远程复位N7L4M27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爆炸危险气体监测报警控制装置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Jeff</cp:lastModifiedBy>
  <dcterms:created xsi:type="dcterms:W3CDTF">2025-03-13T02:40:00Z</dcterms:created>
  <dcterms:modified xsi:type="dcterms:W3CDTF">2025-08-13T03:12:50Z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2052-12.1.0.22215</vt:lpwstr>
  </property>
</Properties>
</file>